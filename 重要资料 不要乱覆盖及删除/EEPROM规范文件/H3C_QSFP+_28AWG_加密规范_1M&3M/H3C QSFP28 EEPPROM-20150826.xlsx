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225" windowWidth="20475" windowHeight="9510" tabRatio="704" activeTab="1"/>
  </bookViews>
  <sheets>
    <sheet name="Rev. info." sheetId="10" r:id="rId1"/>
    <sheet name="EEPROM" sheetId="9" r:id="rId2"/>
    <sheet name="Notes" sheetId="12" r:id="rId3"/>
  </sheets>
  <definedNames>
    <definedName name="_xlnm.Print_Area" localSheetId="1">EEPROM!$A$1:$C$117</definedName>
    <definedName name="_xlnm.Print_Titles" localSheetId="1">EEPROM!$1:$1</definedName>
  </definedNames>
  <calcPr calcId="144525"/>
</workbook>
</file>

<file path=xl/calcChain.xml><?xml version="1.0" encoding="utf-8"?>
<calcChain xmlns="http://schemas.openxmlformats.org/spreadsheetml/2006/main">
  <c r="K61" i="9" l="1"/>
  <c r="M68" i="9"/>
  <c r="M67" i="9"/>
  <c r="M66" i="9"/>
  <c r="M65" i="9"/>
  <c r="M64" i="9"/>
  <c r="M63" i="9"/>
  <c r="M62" i="9"/>
  <c r="M61" i="9"/>
  <c r="K68" i="9"/>
  <c r="K67" i="9"/>
  <c r="K66" i="9"/>
  <c r="K65" i="9"/>
  <c r="K64" i="9"/>
  <c r="K63" i="9"/>
  <c r="K62" i="9"/>
  <c r="I68" i="9" l="1"/>
  <c r="I67" i="9"/>
  <c r="I66" i="9"/>
  <c r="I65" i="9"/>
  <c r="I64" i="9"/>
  <c r="I63" i="9"/>
  <c r="I62" i="9"/>
  <c r="I61" i="9"/>
  <c r="G62" i="9"/>
  <c r="G63" i="9"/>
  <c r="G64" i="9"/>
  <c r="G65" i="9"/>
  <c r="G66" i="9"/>
  <c r="G67" i="9"/>
  <c r="G68" i="9"/>
  <c r="G61" i="9"/>
  <c r="E42" i="9" l="1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41" i="9"/>
</calcChain>
</file>

<file path=xl/sharedStrings.xml><?xml version="1.0" encoding="utf-8"?>
<sst xmlns="http://schemas.openxmlformats.org/spreadsheetml/2006/main" count="212" uniqueCount="124">
  <si>
    <t>.</t>
    <phoneticPr fontId="1" type="noConversion"/>
  </si>
  <si>
    <t>ADD.</t>
    <phoneticPr fontId="1" type="noConversion"/>
  </si>
  <si>
    <t>Identifier</t>
    <phoneticPr fontId="1" type="noConversion"/>
  </si>
  <si>
    <t>Extended Identifier</t>
    <phoneticPr fontId="1" type="noConversion"/>
  </si>
  <si>
    <t>Connector</t>
  </si>
  <si>
    <t>Encoding</t>
    <phoneticPr fontId="1" type="noConversion"/>
  </si>
  <si>
    <t>BR, nominal</t>
  </si>
  <si>
    <t>Extended rateselect Compliance</t>
    <phoneticPr fontId="1" type="noConversion"/>
  </si>
  <si>
    <t>Vendor Rev.(Rev. A)</t>
    <phoneticPr fontId="1" type="noConversion"/>
  </si>
  <si>
    <t>Max. Case Temp</t>
    <phoneticPr fontId="1" type="noConversion"/>
  </si>
  <si>
    <t>Options</t>
    <phoneticPr fontId="1" type="noConversion"/>
  </si>
  <si>
    <t>Diagnostic Monitoring Type</t>
    <phoneticPr fontId="1" type="noConversion"/>
  </si>
  <si>
    <t>Reserved</t>
    <phoneticPr fontId="1" type="noConversion"/>
  </si>
  <si>
    <t>*</t>
    <phoneticPr fontId="1" type="noConversion"/>
  </si>
  <si>
    <t>A0</t>
  </si>
  <si>
    <t>4C</t>
  </si>
  <si>
    <t>2D</t>
  </si>
  <si>
    <t>3C</t>
    <phoneticPr fontId="3" type="noConversion"/>
  </si>
  <si>
    <t>18</t>
    <phoneticPr fontId="3" type="noConversion"/>
  </si>
  <si>
    <t>A0</t>
    <phoneticPr fontId="3" type="noConversion"/>
  </si>
  <si>
    <t>CC-BASE(addresses 128-190)</t>
    <phoneticPr fontId="1" type="noConversion"/>
  </si>
  <si>
    <t>CC_EXT(addresses 192-222))</t>
    <phoneticPr fontId="1" type="noConversion"/>
  </si>
  <si>
    <t>Name of Field</t>
    <phoneticPr fontId="1" type="noConversion"/>
  </si>
  <si>
    <t>Wave length or copper attenuation @5G (QDR)</t>
  </si>
  <si>
    <t>Wave length or copper attenuation @2.5G(DDR)</t>
  </si>
  <si>
    <t>Value(hex)</t>
  </si>
  <si>
    <t>Length(SMF)</t>
  </si>
  <si>
    <t>Length (OM3 50um)</t>
  </si>
  <si>
    <t>Length(OM2 50um)</t>
  </si>
  <si>
    <t>Length(OM162.5 um)</t>
  </si>
  <si>
    <t>Device tech(A0:passive;B0: passive EQ;C0:full active EQ;
D0: half active EQ at far end;E0:half active EQ at near end;
F0: linear active EQ)</t>
  </si>
  <si>
    <t>Vendor OUI:3C 18 A0
For Luxshare</t>
  </si>
  <si>
    <t>Enhanced options</t>
  </si>
  <si>
    <t>80</t>
    <phoneticPr fontId="1" type="noConversion"/>
  </si>
  <si>
    <t>Length(copper)，线缆长度以m为单位．小于１米的以１米表示．</t>
    <phoneticPr fontId="1" type="noConversion"/>
  </si>
  <si>
    <t>Vendor 
Name Byte 148-163(LUXSHARE-ICT ASCII,多余位以空格(20h)补上.)</t>
    <phoneticPr fontId="1" type="noConversion"/>
  </si>
  <si>
    <t>Vendor Specific EEPROM Byte 224-255</t>
    <phoneticPr fontId="1" type="noConversion"/>
  </si>
  <si>
    <t>Specification
Compliance(40GBASE-CR4, Twin-AX pair)</t>
    <phoneticPr fontId="1" type="noConversion"/>
  </si>
  <si>
    <t>Wave length or copper attenuation @7G (FDR)</t>
    <phoneticPr fontId="1" type="noConversion"/>
  </si>
  <si>
    <t>Wave length or copper attenuation @12.9G (EDR)</t>
    <phoneticPr fontId="1" type="noConversion"/>
  </si>
  <si>
    <t>Extended module code</t>
    <phoneticPr fontId="1" type="noConversion"/>
  </si>
  <si>
    <t>1F</t>
    <phoneticPr fontId="1" type="noConversion"/>
  </si>
  <si>
    <t>Date</t>
    <phoneticPr fontId="1" type="noConversion"/>
  </si>
  <si>
    <t>Note</t>
    <phoneticPr fontId="1" type="noConversion"/>
  </si>
  <si>
    <t>Rev.A</t>
    <phoneticPr fontId="1" type="noConversion"/>
  </si>
  <si>
    <t>FF</t>
    <phoneticPr fontId="1" type="noConversion"/>
  </si>
  <si>
    <t>67</t>
    <phoneticPr fontId="1" type="noConversion"/>
  </si>
  <si>
    <t>Revision</t>
    <phoneticPr fontId="1" type="noConversion"/>
  </si>
  <si>
    <t>11</t>
    <phoneticPr fontId="3" type="noConversion"/>
  </si>
  <si>
    <t>Initial realease, References: SFF 8024 Rev3.0 ,SFF-8636 Rev 2.5 &amp; H3C QSFP28 电缆要求V1.0.DOC</t>
    <phoneticPr fontId="1" type="noConversion"/>
  </si>
  <si>
    <t>07</t>
    <phoneticPr fontId="3" type="noConversion"/>
  </si>
  <si>
    <t>02</t>
    <phoneticPr fontId="3" type="noConversion"/>
  </si>
  <si>
    <t>3-21</t>
    <phoneticPr fontId="1" type="noConversion"/>
  </si>
  <si>
    <t>Interupt flags</t>
    <phoneticPr fontId="1" type="noConversion"/>
  </si>
  <si>
    <t>00</t>
    <phoneticPr fontId="1" type="noConversion"/>
  </si>
  <si>
    <t>22-23</t>
    <phoneticPr fontId="1" type="noConversion"/>
  </si>
  <si>
    <t>34-81</t>
    <phoneticPr fontId="1" type="noConversion"/>
  </si>
  <si>
    <t>82-85</t>
    <phoneticPr fontId="1" type="noConversion"/>
  </si>
  <si>
    <t>86-98</t>
    <phoneticPr fontId="1" type="noConversion"/>
  </si>
  <si>
    <t>99</t>
    <phoneticPr fontId="1" type="noConversion"/>
  </si>
  <si>
    <t>100-104</t>
    <phoneticPr fontId="1" type="noConversion"/>
  </si>
  <si>
    <t>105-106</t>
    <phoneticPr fontId="1" type="noConversion"/>
  </si>
  <si>
    <t>108-110</t>
    <phoneticPr fontId="1" type="noConversion"/>
  </si>
  <si>
    <t>111-112</t>
    <phoneticPr fontId="1" type="noConversion"/>
  </si>
  <si>
    <t>114-118</t>
    <phoneticPr fontId="1" type="noConversion"/>
  </si>
  <si>
    <t>119-122</t>
    <phoneticPr fontId="1" type="noConversion"/>
  </si>
  <si>
    <t>123-126</t>
    <phoneticPr fontId="1" type="noConversion"/>
  </si>
  <si>
    <t>11</t>
    <phoneticPr fontId="1" type="noConversion"/>
  </si>
  <si>
    <t>flat or paged memory, IntL, Data_Not_Ready status</t>
    <phoneticPr fontId="1" type="noConversion"/>
  </si>
  <si>
    <t>free side device monitors</t>
    <phoneticPr fontId="1" type="noConversion"/>
  </si>
  <si>
    <t>channel monitors</t>
    <phoneticPr fontId="1" type="noConversion"/>
  </si>
  <si>
    <t>reserved</t>
    <phoneticPr fontId="1" type="noConversion"/>
  </si>
  <si>
    <t>control</t>
    <phoneticPr fontId="1" type="noConversion"/>
  </si>
  <si>
    <t>revision compliance</t>
    <phoneticPr fontId="1" type="noConversion"/>
  </si>
  <si>
    <t>identifier</t>
    <phoneticPr fontId="1" type="noConversion"/>
  </si>
  <si>
    <t>free side device and channel masks</t>
    <phoneticPr fontId="1" type="noConversion"/>
  </si>
  <si>
    <t>Vendor Specific</t>
    <phoneticPr fontId="1" type="noConversion"/>
  </si>
  <si>
    <t>free side device properties</t>
    <phoneticPr fontId="1" type="noConversion"/>
  </si>
  <si>
    <t>reserved</t>
    <phoneticPr fontId="1" type="noConversion"/>
  </si>
  <si>
    <t>assigned for use by PCI Express</t>
    <phoneticPr fontId="1" type="noConversion"/>
  </si>
  <si>
    <t>password change engry area</t>
    <phoneticPr fontId="1" type="noConversion"/>
  </si>
  <si>
    <t>password engry area</t>
    <phoneticPr fontId="1" type="noConversion"/>
  </si>
  <si>
    <t>Page select byte</t>
    <phoneticPr fontId="1" type="noConversion"/>
  </si>
  <si>
    <t>00</t>
    <phoneticPr fontId="1" type="noConversion"/>
  </si>
  <si>
    <t>00</t>
    <phoneticPr fontId="1" type="noConversion"/>
  </si>
  <si>
    <t>80</t>
    <phoneticPr fontId="3" type="noConversion"/>
  </si>
  <si>
    <t>00</t>
    <phoneticPr fontId="1" type="noConversion"/>
  </si>
  <si>
    <t>00</t>
    <phoneticPr fontId="1" type="noConversion"/>
  </si>
  <si>
    <t>0B</t>
    <phoneticPr fontId="1" type="noConversion"/>
  </si>
  <si>
    <t>Vendor SN byte 196-211(ASCII,多余位以空格(20h)补上.)</t>
    <phoneticPr fontId="1" type="noConversion"/>
  </si>
  <si>
    <t>Data Code byte 212-219(ASCII,多余位以空格(20h)补上.)</t>
    <phoneticPr fontId="1" type="noConversion"/>
  </si>
  <si>
    <t>20</t>
    <phoneticPr fontId="1" type="noConversion"/>
  </si>
  <si>
    <t>128-255</t>
    <phoneticPr fontId="1" type="noConversion"/>
  </si>
  <si>
    <t>Page02</t>
  </si>
  <si>
    <t>Page03</t>
  </si>
  <si>
    <t>Page#</t>
    <phoneticPr fontId="1" type="noConversion"/>
  </si>
  <si>
    <t>Bytes</t>
    <phoneticPr fontId="1" type="noConversion"/>
  </si>
  <si>
    <t>Value(Hex)</t>
    <phoneticPr fontId="1" type="noConversion"/>
  </si>
  <si>
    <t>Page01</t>
    <phoneticPr fontId="1" type="noConversion"/>
  </si>
  <si>
    <t>Byte#127 01h选择Page01</t>
    <phoneticPr fontId="1" type="noConversion"/>
  </si>
  <si>
    <t>Byte#127 02h选择Page02</t>
    <phoneticPr fontId="1" type="noConversion"/>
  </si>
  <si>
    <t>Byte#127 03h选择Page03</t>
    <phoneticPr fontId="1" type="noConversion"/>
  </si>
  <si>
    <t>1M Value Hex</t>
    <phoneticPr fontId="1" type="noConversion"/>
  </si>
  <si>
    <t>3M Value Hex</t>
    <phoneticPr fontId="1" type="noConversion"/>
  </si>
  <si>
    <t>224-255</t>
    <phoneticPr fontId="1" type="noConversion"/>
  </si>
  <si>
    <t>00</t>
    <phoneticPr fontId="1" type="noConversion"/>
  </si>
  <si>
    <t>00</t>
    <phoneticPr fontId="1" type="noConversion"/>
  </si>
  <si>
    <t>Page0 bytes 224-255和Page 1-3:128-255, 内容FFh改为00h,以检查EEPROM是否能进行写入操作．</t>
    <phoneticPr fontId="1" type="noConversion"/>
  </si>
  <si>
    <t>Change Product P/N</t>
    <phoneticPr fontId="1" type="noConversion"/>
  </si>
  <si>
    <t>1m 30AWG</t>
    <phoneticPr fontId="1" type="noConversion"/>
  </si>
  <si>
    <t>3m 26AWG</t>
    <phoneticPr fontId="1" type="noConversion"/>
  </si>
  <si>
    <t>A</t>
    <phoneticPr fontId="1" type="noConversion"/>
  </si>
  <si>
    <t>W</t>
    <phoneticPr fontId="1" type="noConversion"/>
  </si>
  <si>
    <t>R</t>
    <phoneticPr fontId="1" type="noConversion"/>
  </si>
  <si>
    <t>20</t>
    <phoneticPr fontId="1" type="noConversion"/>
  </si>
  <si>
    <r>
      <t>Vendor P/N Byte 168-183(多余位以空格(20h)补上.)
注:</t>
    </r>
    <r>
      <rPr>
        <b/>
        <sz val="11"/>
        <color rgb="FFFF0000"/>
        <rFont val="宋体"/>
        <family val="3"/>
        <charset val="134"/>
        <scheme val="minor"/>
      </rPr>
      <t>必须为H3C图纸上的P/N.请见右表．</t>
    </r>
    <phoneticPr fontId="1" type="noConversion"/>
  </si>
  <si>
    <t>00</t>
    <phoneticPr fontId="1" type="noConversion"/>
  </si>
  <si>
    <t>Rev.A</t>
    <phoneticPr fontId="1" type="noConversion"/>
  </si>
  <si>
    <t>添加H3C正式料号</t>
    <phoneticPr fontId="1" type="noConversion"/>
  </si>
  <si>
    <t>1m 30AWG</t>
    <phoneticPr fontId="1" type="noConversion"/>
  </si>
  <si>
    <t>H3C正式料号</t>
    <phoneticPr fontId="1" type="noConversion"/>
  </si>
  <si>
    <t>N</t>
    <phoneticPr fontId="1" type="noConversion"/>
  </si>
  <si>
    <t>A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</si>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</sst>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FF0000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FF"/>
      <name val="宋体"/>
      <family val="3"/>
      <charset val="134"/>
      <scheme val="minor"/>
    </font>
    <font>
      <b/>
      <sz val="11"/>
      <color rgb="FFFF00FF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FF00"/>
      </left>
      <right/>
      <top style="medium">
        <color rgb="FF00FF00"/>
      </top>
      <bottom style="thin">
        <color indexed="64"/>
      </bottom>
      <diagonal/>
    </border>
    <border>
      <left/>
      <right/>
      <top style="medium">
        <color rgb="FF00FF00"/>
      </top>
      <bottom style="thin">
        <color indexed="64"/>
      </bottom>
      <diagonal/>
    </border>
    <border>
      <left/>
      <right style="medium">
        <color rgb="FF00FF00"/>
      </right>
      <top style="medium">
        <color rgb="FF00FF00"/>
      </top>
      <bottom style="thin">
        <color indexed="64"/>
      </bottom>
      <diagonal/>
    </border>
    <border>
      <left style="medium">
        <color rgb="FF00FF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FF00"/>
      </right>
      <top style="thin">
        <color indexed="64"/>
      </top>
      <bottom style="thin">
        <color indexed="64"/>
      </bottom>
      <diagonal/>
    </border>
    <border>
      <left style="medium">
        <color rgb="FF00FF00"/>
      </left>
      <right style="thin">
        <color indexed="64"/>
      </right>
      <top style="thin">
        <color indexed="64"/>
      </top>
      <bottom style="medium">
        <color rgb="FF00FF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FF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FF00"/>
      </bottom>
      <diagonal/>
    </border>
    <border>
      <left style="thin">
        <color indexed="64"/>
      </left>
      <right style="medium">
        <color rgb="FF00FF00"/>
      </right>
      <top style="thin">
        <color indexed="64"/>
      </top>
      <bottom style="medium">
        <color rgb="FF00FF00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0" xfId="0" applyFont="1">
      <alignment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58" fontId="2" fillId="0" borderId="1" xfId="0" quotePrefix="1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9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9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2" borderId="9" xfId="0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0" fillId="2" borderId="14" xfId="0" applyFill="1" applyBorder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FF00"/>
      <color rgb="FFFF00FF"/>
      <color rgb="FF0000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599400</xdr:colOff>
      <xdr:row>3</xdr:row>
      <xdr:rowOff>108501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00000" cy="622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676275</xdr:colOff>
      <xdr:row>0</xdr:row>
      <xdr:rowOff>19051</xdr:rowOff>
    </xdr:from>
    <xdr:to>
      <xdr:col>13</xdr:col>
      <xdr:colOff>161475</xdr:colOff>
      <xdr:row>19</xdr:row>
      <xdr:rowOff>146654</xdr:rowOff>
    </xdr:to>
    <xdr:pic>
      <xdr:nvPicPr>
        <xdr:cNvPr id="3" name="图片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5" y="19051"/>
          <a:ext cx="3600000" cy="33851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7</xdr:col>
      <xdr:colOff>599400</xdr:colOff>
      <xdr:row>17</xdr:row>
      <xdr:rowOff>128240</xdr:rowOff>
    </xdr:to>
    <xdr:pic>
      <xdr:nvPicPr>
        <xdr:cNvPr id="4" name="图片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"/>
          <a:ext cx="5400000" cy="2357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17</xdr:row>
      <xdr:rowOff>95250</xdr:rowOff>
    </xdr:from>
    <xdr:to>
      <xdr:col>7</xdr:col>
      <xdr:colOff>647025</xdr:colOff>
      <xdr:row>34</xdr:row>
      <xdr:rowOff>161910</xdr:rowOff>
    </xdr:to>
    <xdr:pic>
      <xdr:nvPicPr>
        <xdr:cNvPr id="5" name="图片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009900"/>
          <a:ext cx="5400000" cy="2981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1</xdr:rowOff>
    </xdr:from>
    <xdr:to>
      <xdr:col>7</xdr:col>
      <xdr:colOff>599400</xdr:colOff>
      <xdr:row>66</xdr:row>
      <xdr:rowOff>4454</xdr:rowOff>
    </xdr:to>
    <xdr:pic>
      <xdr:nvPicPr>
        <xdr:cNvPr id="6" name="图片 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0751"/>
          <a:ext cx="5400000" cy="5319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7</xdr:col>
      <xdr:colOff>638175</xdr:colOff>
      <xdr:row>71</xdr:row>
      <xdr:rowOff>123825</xdr:rowOff>
    </xdr:to>
    <xdr:pic>
      <xdr:nvPicPr>
        <xdr:cNvPr id="7" name="图片 6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15700"/>
          <a:ext cx="54387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86</xdr:row>
      <xdr:rowOff>142875</xdr:rowOff>
    </xdr:from>
    <xdr:to>
      <xdr:col>15</xdr:col>
      <xdr:colOff>599400</xdr:colOff>
      <xdr:row>108</xdr:row>
      <xdr:rowOff>64043</xdr:rowOff>
    </xdr:to>
    <xdr:pic>
      <xdr:nvPicPr>
        <xdr:cNvPr id="12" name="图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887575"/>
          <a:ext cx="5400000" cy="369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7</xdr:col>
      <xdr:colOff>608925</xdr:colOff>
      <xdr:row>135</xdr:row>
      <xdr:rowOff>82960</xdr:rowOff>
    </xdr:to>
    <xdr:grpSp>
      <xdr:nvGrpSpPr>
        <xdr:cNvPr id="14" name="组合 13"/>
        <xdr:cNvGrpSpPr/>
      </xdr:nvGrpSpPr>
      <xdr:grpSpPr>
        <a:xfrm>
          <a:off x="0" y="12344400"/>
          <a:ext cx="5409525" cy="10884310"/>
          <a:chOff x="0" y="12344400"/>
          <a:chExt cx="5409525" cy="10884310"/>
        </a:xfrm>
      </xdr:grpSpPr>
      <xdr:grpSp>
        <xdr:nvGrpSpPr>
          <xdr:cNvPr id="11" name="组合 10"/>
          <xdr:cNvGrpSpPr/>
        </xdr:nvGrpSpPr>
        <xdr:grpSpPr>
          <a:xfrm>
            <a:off x="0" y="12344400"/>
            <a:ext cx="5409525" cy="8283288"/>
            <a:chOff x="0" y="12344400"/>
            <a:chExt cx="5409525" cy="8283288"/>
          </a:xfrm>
        </xdr:grpSpPr>
        <xdr:pic>
          <xdr:nvPicPr>
            <xdr:cNvPr id="8" name="图片 7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12344400"/>
              <a:ext cx="5400000" cy="2269847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" name="图片 9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525" y="14649450"/>
              <a:ext cx="5400000" cy="597823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pic>
        <xdr:nvPicPr>
          <xdr:cNvPr id="13" name="图片 12"/>
          <xdr:cNvPicPr>
            <a:picLocks noChangeAspect="1"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20574000"/>
            <a:ext cx="5400000" cy="265471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135</xdr:row>
      <xdr:rowOff>85725</xdr:rowOff>
    </xdr:from>
    <xdr:to>
      <xdr:col>7</xdr:col>
      <xdr:colOff>599400</xdr:colOff>
      <xdr:row>161</xdr:row>
      <xdr:rowOff>109353</xdr:rowOff>
    </xdr:to>
    <xdr:pic>
      <xdr:nvPicPr>
        <xdr:cNvPr id="15" name="图片 14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31475"/>
          <a:ext cx="5400000" cy="44813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7</xdr:col>
      <xdr:colOff>599400</xdr:colOff>
      <xdr:row>170</xdr:row>
      <xdr:rowOff>168812</xdr:rowOff>
    </xdr:to>
    <xdr:pic>
      <xdr:nvPicPr>
        <xdr:cNvPr id="16" name="图片 15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74900"/>
          <a:ext cx="5400000" cy="1540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247650</xdr:colOff>
      <xdr:row>169</xdr:row>
      <xdr:rowOff>76200</xdr:rowOff>
    </xdr:from>
    <xdr:to>
      <xdr:col>20</xdr:col>
      <xdr:colOff>9525</xdr:colOff>
      <xdr:row>201</xdr:row>
      <xdr:rowOff>38100</xdr:rowOff>
    </xdr:to>
    <xdr:pic>
      <xdr:nvPicPr>
        <xdr:cNvPr id="17" name="图片 16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29051250"/>
          <a:ext cx="7991475" cy="544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171</xdr:row>
      <xdr:rowOff>0</xdr:rowOff>
    </xdr:from>
    <xdr:to>
      <xdr:col>7</xdr:col>
      <xdr:colOff>495300</xdr:colOff>
      <xdr:row>176</xdr:row>
      <xdr:rowOff>95250</xdr:rowOff>
    </xdr:to>
    <xdr:pic>
      <xdr:nvPicPr>
        <xdr:cNvPr id="18" name="图片 17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9317950"/>
          <a:ext cx="524827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3.5"/>
  <cols>
    <col min="1" max="2" width="16.875" customWidth="1"/>
    <col min="3" max="3" width="103.125" bestFit="1" customWidth="1"/>
  </cols>
  <sheetData>
    <row r="1" spans="1:3">
      <c r="A1" s="11" t="s">
        <v>42</v>
      </c>
      <c r="B1" s="11" t="s">
        <v>47</v>
      </c>
      <c r="C1" s="11" t="s">
        <v>43</v>
      </c>
    </row>
    <row r="2" spans="1:3">
      <c r="A2" s="13">
        <v>42156</v>
      </c>
      <c r="B2" s="11" t="s">
        <v>44</v>
      </c>
      <c r="C2" s="33" t="s">
        <v>49</v>
      </c>
    </row>
    <row r="3" spans="1:3">
      <c r="A3" s="13">
        <v>42165</v>
      </c>
      <c r="B3" s="11" t="s">
        <v>44</v>
      </c>
      <c r="C3" s="33" t="s">
        <v>107</v>
      </c>
    </row>
    <row r="4" spans="1:3">
      <c r="A4" s="13">
        <v>42240</v>
      </c>
      <c r="B4" s="11" t="s">
        <v>44</v>
      </c>
      <c r="C4" s="33" t="s">
        <v>108</v>
      </c>
    </row>
    <row r="5" spans="1:3">
      <c r="A5" s="13">
        <v>42242</v>
      </c>
      <c r="B5" s="11" t="s">
        <v>117</v>
      </c>
      <c r="C5" s="33" t="s">
        <v>118</v>
      </c>
    </row>
    <row r="6" spans="1:3">
      <c r="A6" s="11"/>
      <c r="B6" s="11"/>
      <c r="C6" s="11"/>
    </row>
    <row r="7" spans="1:3">
      <c r="A7" s="11"/>
      <c r="B7" s="11"/>
      <c r="C7" s="11"/>
    </row>
    <row r="8" spans="1:3">
      <c r="A8" s="11"/>
      <c r="B8" s="11"/>
      <c r="C8" s="11"/>
    </row>
    <row r="9" spans="1:3">
      <c r="A9" s="11"/>
      <c r="B9" s="11"/>
      <c r="C9" s="11"/>
    </row>
    <row r="10" spans="1:3">
      <c r="A10" s="11"/>
      <c r="B10" s="11"/>
      <c r="C10" s="11"/>
    </row>
    <row r="11" spans="1:3">
      <c r="A11" s="11"/>
      <c r="B11" s="11"/>
      <c r="C11" s="11"/>
    </row>
    <row r="12" spans="1:3">
      <c r="A12" s="11"/>
      <c r="B12" s="11"/>
      <c r="C12" s="11"/>
    </row>
    <row r="13" spans="1:3">
      <c r="A13" s="11"/>
      <c r="B13" s="11"/>
      <c r="C13" s="11"/>
    </row>
    <row r="14" spans="1:3">
      <c r="A14" s="11"/>
      <c r="B14" s="11"/>
      <c r="C14" s="11"/>
    </row>
    <row r="15" spans="1:3">
      <c r="A15" s="11"/>
      <c r="B15" s="11"/>
      <c r="C15" s="11"/>
    </row>
    <row r="16" spans="1:3">
      <c r="A16" s="11"/>
      <c r="B16" s="11"/>
      <c r="C16" s="11"/>
    </row>
    <row r="17" spans="1:3">
      <c r="A17" s="11"/>
      <c r="B17" s="11"/>
      <c r="C17" s="11"/>
    </row>
    <row r="18" spans="1:3">
      <c r="A18" s="11"/>
      <c r="B18" s="11"/>
      <c r="C18" s="11"/>
    </row>
    <row r="19" spans="1:3">
      <c r="A19" s="11"/>
      <c r="B19" s="11"/>
      <c r="C19" s="11"/>
    </row>
    <row r="20" spans="1:3">
      <c r="A20" s="11"/>
      <c r="B20" s="11"/>
      <c r="C20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tabSelected="1" zoomScaleNormal="100" workbookViewId="0"/>
  </sheetViews>
  <sheetFormatPr defaultRowHeight="13.5"/>
  <cols>
    <col min="1" max="1" width="11.125" style="1" customWidth="1"/>
    <col min="2" max="2" width="13.25" style="1" bestFit="1" customWidth="1"/>
    <col min="3" max="3" width="63" customWidth="1"/>
    <col min="4" max="4" width="1.625" customWidth="1"/>
    <col min="6" max="6" width="8.5" customWidth="1"/>
    <col min="7" max="7" width="13.125" customWidth="1"/>
    <col min="8" max="8" width="8.5" customWidth="1"/>
    <col min="9" max="9" width="13.125" customWidth="1"/>
    <col min="10" max="10" width="8.5" customWidth="1"/>
    <col min="11" max="11" width="13.125" customWidth="1"/>
    <col min="12" max="12" width="8.5" customWidth="1"/>
    <col min="13" max="13" width="13.125" customWidth="1"/>
  </cols>
  <sheetData>
    <row r="1" spans="1:5">
      <c r="A1" s="8" t="s">
        <v>1</v>
      </c>
      <c r="B1" s="8" t="s">
        <v>25</v>
      </c>
      <c r="C1" s="8" t="s">
        <v>22</v>
      </c>
    </row>
    <row r="2" spans="1:5">
      <c r="A2" s="2">
        <v>0</v>
      </c>
      <c r="B2" s="10" t="s">
        <v>48</v>
      </c>
      <c r="C2" s="4" t="s">
        <v>74</v>
      </c>
    </row>
    <row r="3" spans="1:5" ht="24" customHeight="1">
      <c r="A3" s="2">
        <v>1</v>
      </c>
      <c r="B3" s="10" t="s">
        <v>50</v>
      </c>
      <c r="C3" s="14" t="s">
        <v>73</v>
      </c>
    </row>
    <row r="4" spans="1:5" ht="24" customHeight="1">
      <c r="A4" s="2">
        <v>2</v>
      </c>
      <c r="B4" s="10" t="s">
        <v>51</v>
      </c>
      <c r="C4" s="7" t="s">
        <v>68</v>
      </c>
    </row>
    <row r="5" spans="1:5">
      <c r="A5" s="16" t="s">
        <v>52</v>
      </c>
      <c r="B5" s="3" t="s">
        <v>54</v>
      </c>
      <c r="C5" s="14" t="s">
        <v>53</v>
      </c>
    </row>
    <row r="6" spans="1:5">
      <c r="A6" s="16" t="s">
        <v>55</v>
      </c>
      <c r="B6" s="3" t="s">
        <v>54</v>
      </c>
      <c r="C6" s="14" t="s">
        <v>69</v>
      </c>
    </row>
    <row r="7" spans="1:5">
      <c r="A7" s="16" t="s">
        <v>56</v>
      </c>
      <c r="B7" s="3" t="s">
        <v>54</v>
      </c>
      <c r="C7" s="14" t="s">
        <v>70</v>
      </c>
    </row>
    <row r="8" spans="1:5">
      <c r="A8" s="16" t="s">
        <v>57</v>
      </c>
      <c r="B8" s="3" t="s">
        <v>54</v>
      </c>
      <c r="C8" s="14" t="s">
        <v>71</v>
      </c>
    </row>
    <row r="9" spans="1:5">
      <c r="A9" s="16" t="s">
        <v>58</v>
      </c>
      <c r="B9" s="3" t="s">
        <v>54</v>
      </c>
      <c r="C9" s="14" t="s">
        <v>72</v>
      </c>
    </row>
    <row r="10" spans="1:5">
      <c r="A10" s="16" t="s">
        <v>59</v>
      </c>
      <c r="B10" s="3" t="s">
        <v>54</v>
      </c>
      <c r="C10" s="14" t="s">
        <v>71</v>
      </c>
    </row>
    <row r="11" spans="1:5">
      <c r="A11" s="16" t="s">
        <v>60</v>
      </c>
      <c r="B11" s="3" t="s">
        <v>54</v>
      </c>
      <c r="C11" s="14" t="s">
        <v>75</v>
      </c>
    </row>
    <row r="12" spans="1:5">
      <c r="A12" s="2" t="s">
        <v>61</v>
      </c>
      <c r="B12" s="3" t="s">
        <v>54</v>
      </c>
      <c r="C12" s="14" t="s">
        <v>76</v>
      </c>
    </row>
    <row r="13" spans="1:5">
      <c r="A13" s="2">
        <v>107</v>
      </c>
      <c r="B13" s="3" t="s">
        <v>54</v>
      </c>
      <c r="C13" s="14" t="s">
        <v>78</v>
      </c>
      <c r="E13" s="12"/>
    </row>
    <row r="14" spans="1:5">
      <c r="A14" s="2" t="s">
        <v>62</v>
      </c>
      <c r="B14" s="3" t="s">
        <v>54</v>
      </c>
      <c r="C14" s="14" t="s">
        <v>77</v>
      </c>
    </row>
    <row r="15" spans="1:5">
      <c r="A15" s="2" t="s">
        <v>63</v>
      </c>
      <c r="B15" s="3" t="s">
        <v>54</v>
      </c>
      <c r="C15" s="14" t="s">
        <v>79</v>
      </c>
    </row>
    <row r="16" spans="1:5">
      <c r="A16" s="2">
        <v>113</v>
      </c>
      <c r="B16" s="3" t="s">
        <v>54</v>
      </c>
      <c r="C16" s="14" t="s">
        <v>77</v>
      </c>
    </row>
    <row r="17" spans="1:13">
      <c r="A17" s="2" t="s">
        <v>64</v>
      </c>
      <c r="B17" s="3" t="s">
        <v>83</v>
      </c>
      <c r="C17" s="14" t="s">
        <v>78</v>
      </c>
    </row>
    <row r="18" spans="1:13">
      <c r="A18" s="2" t="s">
        <v>65</v>
      </c>
      <c r="B18" s="3" t="s">
        <v>83</v>
      </c>
      <c r="C18" s="14" t="s">
        <v>80</v>
      </c>
    </row>
    <row r="19" spans="1:13">
      <c r="A19" s="2" t="s">
        <v>66</v>
      </c>
      <c r="B19" s="3" t="s">
        <v>83</v>
      </c>
      <c r="C19" s="14" t="s">
        <v>81</v>
      </c>
    </row>
    <row r="20" spans="1:13">
      <c r="A20" s="2">
        <v>127</v>
      </c>
      <c r="B20" s="3" t="s">
        <v>54</v>
      </c>
      <c r="C20" s="14" t="s">
        <v>82</v>
      </c>
    </row>
    <row r="21" spans="1:13">
      <c r="A21" s="2">
        <v>128</v>
      </c>
      <c r="B21" s="6" t="s">
        <v>67</v>
      </c>
      <c r="C21" s="14" t="s">
        <v>2</v>
      </c>
    </row>
    <row r="22" spans="1:13">
      <c r="A22" s="2">
        <v>129</v>
      </c>
      <c r="B22" s="9" t="s">
        <v>84</v>
      </c>
      <c r="C22" s="14" t="s">
        <v>3</v>
      </c>
    </row>
    <row r="23" spans="1:13">
      <c r="A23" s="2">
        <v>130</v>
      </c>
      <c r="B23" s="2">
        <v>23</v>
      </c>
      <c r="C23" s="14" t="s">
        <v>4</v>
      </c>
    </row>
    <row r="24" spans="1:13">
      <c r="A24" s="2">
        <v>131</v>
      </c>
      <c r="B24" s="10" t="s">
        <v>85</v>
      </c>
      <c r="C24" s="35" t="s">
        <v>37</v>
      </c>
    </row>
    <row r="25" spans="1:13">
      <c r="A25" s="2">
        <v>132</v>
      </c>
      <c r="B25" s="9" t="s">
        <v>84</v>
      </c>
      <c r="C25" s="34"/>
    </row>
    <row r="26" spans="1:13">
      <c r="A26" s="2">
        <v>133</v>
      </c>
      <c r="B26" s="9" t="s">
        <v>84</v>
      </c>
      <c r="C26" s="34"/>
    </row>
    <row r="27" spans="1:13">
      <c r="A27" s="2">
        <v>134</v>
      </c>
      <c r="B27" s="9" t="s">
        <v>86</v>
      </c>
      <c r="C27" s="34"/>
    </row>
    <row r="28" spans="1:13">
      <c r="A28" s="2">
        <v>135</v>
      </c>
      <c r="B28" s="9" t="s">
        <v>86</v>
      </c>
      <c r="C28" s="34"/>
    </row>
    <row r="29" spans="1:13">
      <c r="A29" s="2">
        <v>136</v>
      </c>
      <c r="B29" s="9" t="s">
        <v>86</v>
      </c>
      <c r="C29" s="34"/>
      <c r="M29" t="s">
        <v>0</v>
      </c>
    </row>
    <row r="30" spans="1:13">
      <c r="A30" s="2">
        <v>137</v>
      </c>
      <c r="B30" s="9" t="s">
        <v>33</v>
      </c>
      <c r="C30" s="34"/>
    </row>
    <row r="31" spans="1:13">
      <c r="A31" s="2">
        <v>138</v>
      </c>
      <c r="B31" s="9" t="s">
        <v>87</v>
      </c>
      <c r="C31" s="34"/>
    </row>
    <row r="32" spans="1:13">
      <c r="A32" s="2">
        <v>139</v>
      </c>
      <c r="B32" s="9" t="s">
        <v>84</v>
      </c>
      <c r="C32" s="14" t="s">
        <v>5</v>
      </c>
    </row>
    <row r="33" spans="1:5">
      <c r="A33" s="2">
        <v>140</v>
      </c>
      <c r="B33" s="9" t="s">
        <v>45</v>
      </c>
      <c r="C33" s="14" t="s">
        <v>6</v>
      </c>
    </row>
    <row r="34" spans="1:5">
      <c r="A34" s="2">
        <v>141</v>
      </c>
      <c r="B34" s="9" t="s">
        <v>84</v>
      </c>
      <c r="C34" s="14" t="s">
        <v>7</v>
      </c>
    </row>
    <row r="35" spans="1:5">
      <c r="A35" s="2">
        <v>142</v>
      </c>
      <c r="B35" s="9" t="s">
        <v>84</v>
      </c>
      <c r="C35" s="14" t="s">
        <v>26</v>
      </c>
    </row>
    <row r="36" spans="1:5">
      <c r="A36" s="2">
        <v>143</v>
      </c>
      <c r="B36" s="9" t="s">
        <v>84</v>
      </c>
      <c r="C36" s="14" t="s">
        <v>27</v>
      </c>
    </row>
    <row r="37" spans="1:5" ht="13.5" customHeight="1">
      <c r="A37" s="2">
        <v>144</v>
      </c>
      <c r="B37" s="9" t="s">
        <v>84</v>
      </c>
      <c r="C37" s="14" t="s">
        <v>28</v>
      </c>
    </row>
    <row r="38" spans="1:5" ht="13.5" customHeight="1">
      <c r="A38" s="2">
        <v>145</v>
      </c>
      <c r="B38" s="9" t="s">
        <v>84</v>
      </c>
      <c r="C38" s="14" t="s">
        <v>29</v>
      </c>
    </row>
    <row r="39" spans="1:5" ht="13.5" customHeight="1">
      <c r="A39" s="2">
        <v>146</v>
      </c>
      <c r="B39" s="9" t="s">
        <v>13</v>
      </c>
      <c r="C39" s="14" t="s">
        <v>34</v>
      </c>
    </row>
    <row r="40" spans="1:5" ht="43.5" customHeight="1">
      <c r="A40" s="2">
        <v>147</v>
      </c>
      <c r="B40" s="9" t="s">
        <v>14</v>
      </c>
      <c r="C40" s="15" t="s">
        <v>30</v>
      </c>
    </row>
    <row r="41" spans="1:5" ht="13.5" customHeight="1">
      <c r="A41" s="2">
        <v>148</v>
      </c>
      <c r="B41" s="9" t="s">
        <v>15</v>
      </c>
      <c r="C41" s="35" t="s">
        <v>35</v>
      </c>
      <c r="E41" t="str">
        <f>CHAR(HEX2DEC(B41))</f>
        <v>L</v>
      </c>
    </row>
    <row r="42" spans="1:5" ht="13.5" customHeight="1">
      <c r="A42" s="2">
        <v>149</v>
      </c>
      <c r="B42" s="9">
        <v>55</v>
      </c>
      <c r="C42" s="34"/>
      <c r="E42" t="str">
        <f t="shared" ref="E42:E56" si="0">CHAR(HEX2DEC(B42))</f>
        <v>U</v>
      </c>
    </row>
    <row r="43" spans="1:5" ht="13.5" customHeight="1">
      <c r="A43" s="2">
        <v>150</v>
      </c>
      <c r="B43" s="9">
        <v>58</v>
      </c>
      <c r="C43" s="34"/>
      <c r="E43" t="str">
        <f t="shared" si="0"/>
        <v>X</v>
      </c>
    </row>
    <row r="44" spans="1:5" ht="13.5" customHeight="1">
      <c r="A44" s="2">
        <v>151</v>
      </c>
      <c r="B44" s="9">
        <v>53</v>
      </c>
      <c r="C44" s="34"/>
      <c r="E44" t="str">
        <f t="shared" si="0"/>
        <v>S</v>
      </c>
    </row>
    <row r="45" spans="1:5" ht="13.5" customHeight="1">
      <c r="A45" s="2">
        <v>152</v>
      </c>
      <c r="B45" s="9">
        <v>48</v>
      </c>
      <c r="C45" s="34"/>
      <c r="E45" t="str">
        <f t="shared" si="0"/>
        <v>H</v>
      </c>
    </row>
    <row r="46" spans="1:5" ht="13.5" customHeight="1">
      <c r="A46" s="2">
        <v>153</v>
      </c>
      <c r="B46" s="9">
        <v>41</v>
      </c>
      <c r="C46" s="34"/>
      <c r="E46" t="str">
        <f t="shared" si="0"/>
        <v>A</v>
      </c>
    </row>
    <row r="47" spans="1:5" ht="13.5" customHeight="1">
      <c r="A47" s="2">
        <v>154</v>
      </c>
      <c r="B47" s="9">
        <v>52</v>
      </c>
      <c r="C47" s="34"/>
      <c r="E47" t="str">
        <f t="shared" si="0"/>
        <v>R</v>
      </c>
    </row>
    <row r="48" spans="1:5" ht="13.5" customHeight="1">
      <c r="A48" s="2">
        <v>155</v>
      </c>
      <c r="B48" s="9">
        <v>45</v>
      </c>
      <c r="C48" s="34"/>
      <c r="E48" t="str">
        <f t="shared" si="0"/>
        <v>E</v>
      </c>
    </row>
    <row r="49" spans="1:13" ht="13.5" customHeight="1">
      <c r="A49" s="2">
        <v>156</v>
      </c>
      <c r="B49" s="9" t="s">
        <v>16</v>
      </c>
      <c r="C49" s="34"/>
      <c r="E49" t="str">
        <f t="shared" si="0"/>
        <v>-</v>
      </c>
    </row>
    <row r="50" spans="1:13" ht="13.5" customHeight="1">
      <c r="A50" s="2">
        <v>157</v>
      </c>
      <c r="B50" s="9">
        <v>49</v>
      </c>
      <c r="C50" s="34"/>
      <c r="E50" t="str">
        <f t="shared" si="0"/>
        <v>I</v>
      </c>
    </row>
    <row r="51" spans="1:13" ht="13.5" customHeight="1">
      <c r="A51" s="2">
        <v>158</v>
      </c>
      <c r="B51" s="9">
        <v>43</v>
      </c>
      <c r="C51" s="34"/>
      <c r="E51" t="str">
        <f t="shared" si="0"/>
        <v>C</v>
      </c>
    </row>
    <row r="52" spans="1:13" ht="13.5" customHeight="1">
      <c r="A52" s="2">
        <v>159</v>
      </c>
      <c r="B52" s="9">
        <v>54</v>
      </c>
      <c r="C52" s="34"/>
      <c r="E52" t="str">
        <f t="shared" si="0"/>
        <v>T</v>
      </c>
    </row>
    <row r="53" spans="1:13" ht="13.5" customHeight="1">
      <c r="A53" s="2">
        <v>160</v>
      </c>
      <c r="B53" s="9">
        <v>20</v>
      </c>
      <c r="C53" s="34"/>
      <c r="E53" t="str">
        <f t="shared" si="0"/>
        <v xml:space="preserve"> </v>
      </c>
    </row>
    <row r="54" spans="1:13" ht="13.5" customHeight="1">
      <c r="A54" s="2">
        <v>161</v>
      </c>
      <c r="B54" s="9">
        <v>20</v>
      </c>
      <c r="C54" s="34"/>
      <c r="E54" t="str">
        <f t="shared" si="0"/>
        <v xml:space="preserve"> </v>
      </c>
    </row>
    <row r="55" spans="1:13" ht="13.5" customHeight="1">
      <c r="A55" s="2">
        <v>162</v>
      </c>
      <c r="B55" s="9">
        <v>20</v>
      </c>
      <c r="C55" s="34"/>
      <c r="E55" t="str">
        <f t="shared" si="0"/>
        <v xml:space="preserve"> </v>
      </c>
    </row>
    <row r="56" spans="1:13" ht="13.5" customHeight="1">
      <c r="A56" s="2">
        <v>163</v>
      </c>
      <c r="B56" s="9">
        <v>20</v>
      </c>
      <c r="C56" s="34"/>
      <c r="E56" t="str">
        <f t="shared" si="0"/>
        <v xml:space="preserve"> </v>
      </c>
    </row>
    <row r="57" spans="1:13" ht="15" customHeight="1">
      <c r="A57" s="2">
        <v>164</v>
      </c>
      <c r="B57" s="9" t="s">
        <v>41</v>
      </c>
      <c r="C57" s="14" t="s">
        <v>40</v>
      </c>
    </row>
    <row r="58" spans="1:13" ht="13.5" customHeight="1" thickBot="1">
      <c r="A58" s="2">
        <v>165</v>
      </c>
      <c r="B58" s="9" t="s">
        <v>17</v>
      </c>
      <c r="C58" s="35" t="s">
        <v>31</v>
      </c>
    </row>
    <row r="59" spans="1:13">
      <c r="A59" s="2">
        <v>166</v>
      </c>
      <c r="B59" s="9" t="s">
        <v>18</v>
      </c>
      <c r="C59" s="34"/>
      <c r="J59" s="40" t="s">
        <v>120</v>
      </c>
      <c r="K59" s="41"/>
      <c r="L59" s="41"/>
      <c r="M59" s="42"/>
    </row>
    <row r="60" spans="1:13">
      <c r="A60" s="2">
        <v>167</v>
      </c>
      <c r="B60" s="9" t="s">
        <v>19</v>
      </c>
      <c r="C60" s="34"/>
      <c r="F60" s="27" t="s">
        <v>109</v>
      </c>
      <c r="G60" s="28" t="s">
        <v>102</v>
      </c>
      <c r="H60" s="26" t="s">
        <v>110</v>
      </c>
      <c r="I60" s="36" t="s">
        <v>103</v>
      </c>
      <c r="J60" s="43" t="s">
        <v>119</v>
      </c>
      <c r="K60" s="25" t="s">
        <v>103</v>
      </c>
      <c r="L60" s="26" t="s">
        <v>110</v>
      </c>
      <c r="M60" s="44" t="s">
        <v>103</v>
      </c>
    </row>
    <row r="61" spans="1:13" ht="14.25" customHeight="1">
      <c r="A61" s="2">
        <v>168</v>
      </c>
      <c r="B61" s="9" t="s">
        <v>13</v>
      </c>
      <c r="C61" s="35" t="s">
        <v>115</v>
      </c>
      <c r="F61" s="29">
        <v>9</v>
      </c>
      <c r="G61" s="30" t="str">
        <f>DEC2HEX(CODE(F61))</f>
        <v>39</v>
      </c>
      <c r="H61" s="29">
        <v>9</v>
      </c>
      <c r="I61" s="37" t="str">
        <f>DEC2HEX(CODE(H61))</f>
        <v>39</v>
      </c>
      <c r="J61" s="45">
        <v>0</v>
      </c>
      <c r="K61" s="39" t="str">
        <f>DEC2HEX(CODE(J61))</f>
        <v>30</v>
      </c>
      <c r="L61" s="38">
        <v>0</v>
      </c>
      <c r="M61" s="46" t="str">
        <f>DEC2HEX(CODE(L61))</f>
        <v>30</v>
      </c>
    </row>
    <row r="62" spans="1:13">
      <c r="A62" s="2">
        <v>169</v>
      </c>
      <c r="B62" s="9" t="s">
        <v>13</v>
      </c>
      <c r="C62" s="34"/>
      <c r="F62" s="29">
        <v>9</v>
      </c>
      <c r="G62" s="30" t="str">
        <f t="shared" ref="G62:I68" si="1">DEC2HEX(CODE(F62))</f>
        <v>39</v>
      </c>
      <c r="H62" s="29">
        <v>9</v>
      </c>
      <c r="I62" s="37" t="str">
        <f t="shared" si="1"/>
        <v>39</v>
      </c>
      <c r="J62" s="45">
        <v>4</v>
      </c>
      <c r="K62" s="39" t="str">
        <f t="shared" ref="K62:K68" si="2">DEC2HEX(CODE(J62))</f>
        <v>34</v>
      </c>
      <c r="L62" s="38">
        <v>4</v>
      </c>
      <c r="M62" s="46" t="str">
        <f t="shared" ref="M62:M68" si="3">DEC2HEX(CODE(L62))</f>
        <v>34</v>
      </c>
    </row>
    <row r="63" spans="1:13">
      <c r="A63" s="2">
        <v>170</v>
      </c>
      <c r="B63" s="9" t="s">
        <v>13</v>
      </c>
      <c r="C63" s="34"/>
      <c r="F63" s="29">
        <v>0</v>
      </c>
      <c r="G63" s="30" t="str">
        <f t="shared" si="1"/>
        <v>30</v>
      </c>
      <c r="H63" s="29">
        <v>0</v>
      </c>
      <c r="I63" s="37" t="str">
        <f t="shared" si="1"/>
        <v>30</v>
      </c>
      <c r="J63" s="45">
        <v>0</v>
      </c>
      <c r="K63" s="39" t="str">
        <f t="shared" si="2"/>
        <v>30</v>
      </c>
      <c r="L63" s="38">
        <v>0</v>
      </c>
      <c r="M63" s="46" t="str">
        <f t="shared" si="3"/>
        <v>30</v>
      </c>
    </row>
    <row r="64" spans="1:13">
      <c r="A64" s="2">
        <v>171</v>
      </c>
      <c r="B64" s="9" t="s">
        <v>13</v>
      </c>
      <c r="C64" s="34"/>
      <c r="F64" s="29">
        <v>1</v>
      </c>
      <c r="G64" s="30" t="str">
        <f t="shared" si="1"/>
        <v>31</v>
      </c>
      <c r="H64" s="29">
        <v>1</v>
      </c>
      <c r="I64" s="37" t="str">
        <f t="shared" si="1"/>
        <v>31</v>
      </c>
      <c r="J64" s="45">
        <v>4</v>
      </c>
      <c r="K64" s="39" t="str">
        <f t="shared" si="2"/>
        <v>34</v>
      </c>
      <c r="L64" s="38">
        <v>4</v>
      </c>
      <c r="M64" s="46" t="str">
        <f t="shared" si="3"/>
        <v>34</v>
      </c>
    </row>
    <row r="65" spans="1:13">
      <c r="A65" s="2">
        <v>172</v>
      </c>
      <c r="B65" s="9" t="s">
        <v>13</v>
      </c>
      <c r="C65" s="34"/>
      <c r="F65" s="29" t="s">
        <v>111</v>
      </c>
      <c r="G65" s="30" t="str">
        <f t="shared" si="1"/>
        <v>41</v>
      </c>
      <c r="H65" s="29" t="s">
        <v>111</v>
      </c>
      <c r="I65" s="37" t="str">
        <f t="shared" si="1"/>
        <v>41</v>
      </c>
      <c r="J65" s="45" t="s">
        <v>111</v>
      </c>
      <c r="K65" s="39" t="str">
        <f t="shared" si="2"/>
        <v>41</v>
      </c>
      <c r="L65" s="38" t="s">
        <v>111</v>
      </c>
      <c r="M65" s="46" t="str">
        <f t="shared" si="3"/>
        <v>41</v>
      </c>
    </row>
    <row r="66" spans="1:13">
      <c r="A66" s="2">
        <v>173</v>
      </c>
      <c r="B66" s="9" t="s">
        <v>13</v>
      </c>
      <c r="C66" s="34"/>
      <c r="F66" s="29">
        <v>1</v>
      </c>
      <c r="G66" s="30" t="str">
        <f t="shared" si="1"/>
        <v>31</v>
      </c>
      <c r="H66" s="29">
        <v>2</v>
      </c>
      <c r="I66" s="37" t="str">
        <f t="shared" si="1"/>
        <v>32</v>
      </c>
      <c r="J66" s="45">
        <v>0</v>
      </c>
      <c r="K66" s="39" t="str">
        <f t="shared" si="2"/>
        <v>30</v>
      </c>
      <c r="L66" s="38">
        <v>0</v>
      </c>
      <c r="M66" s="46" t="str">
        <f t="shared" si="3"/>
        <v>30</v>
      </c>
    </row>
    <row r="67" spans="1:13">
      <c r="A67" s="2">
        <v>174</v>
      </c>
      <c r="B67" s="9" t="s">
        <v>13</v>
      </c>
      <c r="C67" s="34"/>
      <c r="F67" s="29" t="s">
        <v>112</v>
      </c>
      <c r="G67" s="30" t="str">
        <f t="shared" si="1"/>
        <v>57</v>
      </c>
      <c r="H67" s="29">
        <v>3</v>
      </c>
      <c r="I67" s="37" t="str">
        <f t="shared" si="1"/>
        <v>33</v>
      </c>
      <c r="J67" s="45" t="s">
        <v>121</v>
      </c>
      <c r="K67" s="39" t="str">
        <f t="shared" si="2"/>
        <v>4E</v>
      </c>
      <c r="L67" s="38" t="s">
        <v>121</v>
      </c>
      <c r="M67" s="46" t="str">
        <f t="shared" si="3"/>
        <v>4E</v>
      </c>
    </row>
    <row r="68" spans="1:13" ht="14.25" thickBot="1">
      <c r="A68" s="2">
        <v>175</v>
      </c>
      <c r="B68" s="9" t="s">
        <v>13</v>
      </c>
      <c r="C68" s="34"/>
      <c r="F68" s="29" t="s">
        <v>113</v>
      </c>
      <c r="G68" s="30" t="str">
        <f t="shared" si="1"/>
        <v>52</v>
      </c>
      <c r="H68" s="29">
        <v>3</v>
      </c>
      <c r="I68" s="37" t="str">
        <f t="shared" si="1"/>
        <v>33</v>
      </c>
      <c r="J68" s="47" t="s">
        <v>122</v>
      </c>
      <c r="K68" s="48" t="str">
        <f t="shared" si="2"/>
        <v>41</v>
      </c>
      <c r="L68" s="49" t="s">
        <v>123</v>
      </c>
      <c r="M68" s="50" t="str">
        <f t="shared" si="3"/>
        <v>42</v>
      </c>
    </row>
    <row r="69" spans="1:13">
      <c r="A69" s="2">
        <v>176</v>
      </c>
      <c r="B69" s="9" t="s">
        <v>114</v>
      </c>
      <c r="C69" s="34"/>
    </row>
    <row r="70" spans="1:13">
      <c r="A70" s="2">
        <v>177</v>
      </c>
      <c r="B70" s="9" t="s">
        <v>114</v>
      </c>
      <c r="C70" s="34"/>
    </row>
    <row r="71" spans="1:13">
      <c r="A71" s="2">
        <v>178</v>
      </c>
      <c r="B71" s="9" t="s">
        <v>114</v>
      </c>
      <c r="C71" s="34"/>
    </row>
    <row r="72" spans="1:13">
      <c r="A72" s="2">
        <v>179</v>
      </c>
      <c r="B72" s="9" t="s">
        <v>114</v>
      </c>
      <c r="C72" s="34"/>
    </row>
    <row r="73" spans="1:13">
      <c r="A73" s="2">
        <v>180</v>
      </c>
      <c r="B73" s="9" t="s">
        <v>114</v>
      </c>
      <c r="C73" s="34"/>
    </row>
    <row r="74" spans="1:13">
      <c r="A74" s="2">
        <v>181</v>
      </c>
      <c r="B74" s="9" t="s">
        <v>114</v>
      </c>
      <c r="C74" s="34"/>
    </row>
    <row r="75" spans="1:13">
      <c r="A75" s="2">
        <v>182</v>
      </c>
      <c r="B75" s="9" t="s">
        <v>114</v>
      </c>
      <c r="C75" s="34"/>
    </row>
    <row r="76" spans="1:13">
      <c r="A76" s="2">
        <v>183</v>
      </c>
      <c r="B76" s="9" t="s">
        <v>114</v>
      </c>
      <c r="C76" s="34"/>
    </row>
    <row r="77" spans="1:13" ht="13.5" customHeight="1">
      <c r="A77" s="2">
        <v>184</v>
      </c>
      <c r="B77" s="9">
        <v>41</v>
      </c>
      <c r="C77" s="34" t="s">
        <v>8</v>
      </c>
    </row>
    <row r="78" spans="1:13">
      <c r="A78" s="2">
        <v>185</v>
      </c>
      <c r="B78" s="9">
        <v>20</v>
      </c>
      <c r="C78" s="34"/>
    </row>
    <row r="79" spans="1:13" ht="15" customHeight="1">
      <c r="A79" s="2">
        <v>186</v>
      </c>
      <c r="B79" s="9" t="s">
        <v>13</v>
      </c>
      <c r="C79" s="7" t="s">
        <v>24</v>
      </c>
    </row>
    <row r="80" spans="1:13">
      <c r="A80" s="2">
        <v>187</v>
      </c>
      <c r="B80" s="9" t="s">
        <v>13</v>
      </c>
      <c r="C80" s="7" t="s">
        <v>23</v>
      </c>
    </row>
    <row r="81" spans="1:5" ht="15" customHeight="1">
      <c r="A81" s="2">
        <v>188</v>
      </c>
      <c r="B81" s="9" t="s">
        <v>13</v>
      </c>
      <c r="C81" s="7" t="s">
        <v>38</v>
      </c>
    </row>
    <row r="82" spans="1:5">
      <c r="A82" s="2">
        <v>189</v>
      </c>
      <c r="B82" s="9" t="s">
        <v>13</v>
      </c>
      <c r="C82" s="7" t="s">
        <v>39</v>
      </c>
    </row>
    <row r="83" spans="1:5">
      <c r="A83" s="2">
        <v>190</v>
      </c>
      <c r="B83" s="9">
        <v>46</v>
      </c>
      <c r="C83" s="14" t="s">
        <v>9</v>
      </c>
    </row>
    <row r="84" spans="1:5">
      <c r="A84" s="2">
        <v>191</v>
      </c>
      <c r="B84" s="9" t="s">
        <v>13</v>
      </c>
      <c r="C84" s="14" t="s">
        <v>20</v>
      </c>
    </row>
    <row r="85" spans="1:5">
      <c r="A85" s="2">
        <v>192</v>
      </c>
      <c r="B85" s="10" t="s">
        <v>88</v>
      </c>
      <c r="C85" s="34" t="s">
        <v>10</v>
      </c>
      <c r="E85" s="12"/>
    </row>
    <row r="86" spans="1:5">
      <c r="A86" s="2">
        <v>193</v>
      </c>
      <c r="B86" s="9" t="s">
        <v>116</v>
      </c>
      <c r="C86" s="34"/>
    </row>
    <row r="87" spans="1:5">
      <c r="A87" s="2">
        <v>194</v>
      </c>
      <c r="B87" s="9" t="s">
        <v>116</v>
      </c>
      <c r="C87" s="34"/>
    </row>
    <row r="88" spans="1:5">
      <c r="A88" s="2">
        <v>195</v>
      </c>
      <c r="B88" s="9" t="s">
        <v>116</v>
      </c>
      <c r="C88" s="34"/>
    </row>
    <row r="89" spans="1:5">
      <c r="A89" s="2">
        <v>196</v>
      </c>
      <c r="B89" s="9" t="s">
        <v>13</v>
      </c>
      <c r="C89" s="34" t="s">
        <v>89</v>
      </c>
    </row>
    <row r="90" spans="1:5">
      <c r="A90" s="2">
        <v>197</v>
      </c>
      <c r="B90" s="9" t="s">
        <v>13</v>
      </c>
      <c r="C90" s="34"/>
    </row>
    <row r="91" spans="1:5">
      <c r="A91" s="2">
        <v>198</v>
      </c>
      <c r="B91" s="9" t="s">
        <v>13</v>
      </c>
      <c r="C91" s="34"/>
    </row>
    <row r="92" spans="1:5">
      <c r="A92" s="2">
        <v>199</v>
      </c>
      <c r="B92" s="9" t="s">
        <v>13</v>
      </c>
      <c r="C92" s="34"/>
    </row>
    <row r="93" spans="1:5">
      <c r="A93" s="2">
        <v>200</v>
      </c>
      <c r="B93" s="9" t="s">
        <v>13</v>
      </c>
      <c r="C93" s="34"/>
    </row>
    <row r="94" spans="1:5">
      <c r="A94" s="2">
        <v>201</v>
      </c>
      <c r="B94" s="9" t="s">
        <v>13</v>
      </c>
      <c r="C94" s="34"/>
    </row>
    <row r="95" spans="1:5">
      <c r="A95" s="2">
        <v>202</v>
      </c>
      <c r="B95" s="9" t="s">
        <v>13</v>
      </c>
      <c r="C95" s="34"/>
    </row>
    <row r="96" spans="1:5">
      <c r="A96" s="2">
        <v>203</v>
      </c>
      <c r="B96" s="9" t="s">
        <v>13</v>
      </c>
      <c r="C96" s="34"/>
    </row>
    <row r="97" spans="1:3">
      <c r="A97" s="2">
        <v>204</v>
      </c>
      <c r="B97" s="9" t="s">
        <v>13</v>
      </c>
      <c r="C97" s="34"/>
    </row>
    <row r="98" spans="1:3">
      <c r="A98" s="2">
        <v>205</v>
      </c>
      <c r="B98" s="9" t="s">
        <v>13</v>
      </c>
      <c r="C98" s="34"/>
    </row>
    <row r="99" spans="1:3">
      <c r="A99" s="2">
        <v>206</v>
      </c>
      <c r="B99" s="9" t="s">
        <v>13</v>
      </c>
      <c r="C99" s="34"/>
    </row>
    <row r="100" spans="1:3">
      <c r="A100" s="2">
        <v>207</v>
      </c>
      <c r="B100" s="9" t="s">
        <v>13</v>
      </c>
      <c r="C100" s="34"/>
    </row>
    <row r="101" spans="1:3">
      <c r="A101" s="2">
        <v>208</v>
      </c>
      <c r="B101" s="9" t="s">
        <v>13</v>
      </c>
      <c r="C101" s="34"/>
    </row>
    <row r="102" spans="1:3">
      <c r="A102" s="2">
        <v>209</v>
      </c>
      <c r="B102" s="9" t="s">
        <v>13</v>
      </c>
      <c r="C102" s="34"/>
    </row>
    <row r="103" spans="1:3">
      <c r="A103" s="2">
        <v>210</v>
      </c>
      <c r="B103" s="9" t="s">
        <v>13</v>
      </c>
      <c r="C103" s="34"/>
    </row>
    <row r="104" spans="1:3">
      <c r="A104" s="2">
        <v>211</v>
      </c>
      <c r="B104" s="9" t="s">
        <v>13</v>
      </c>
      <c r="C104" s="34"/>
    </row>
    <row r="105" spans="1:3">
      <c r="A105" s="2">
        <v>212</v>
      </c>
      <c r="B105" s="9" t="s">
        <v>13</v>
      </c>
      <c r="C105" s="34" t="s">
        <v>90</v>
      </c>
    </row>
    <row r="106" spans="1:3">
      <c r="A106" s="2">
        <v>213</v>
      </c>
      <c r="B106" s="9" t="s">
        <v>13</v>
      </c>
      <c r="C106" s="34"/>
    </row>
    <row r="107" spans="1:3">
      <c r="A107" s="2">
        <v>214</v>
      </c>
      <c r="B107" s="9" t="s">
        <v>13</v>
      </c>
      <c r="C107" s="34"/>
    </row>
    <row r="108" spans="1:3">
      <c r="A108" s="2">
        <v>215</v>
      </c>
      <c r="B108" s="9" t="s">
        <v>13</v>
      </c>
      <c r="C108" s="34"/>
    </row>
    <row r="109" spans="1:3">
      <c r="A109" s="2">
        <v>216</v>
      </c>
      <c r="B109" s="9" t="s">
        <v>13</v>
      </c>
      <c r="C109" s="34"/>
    </row>
    <row r="110" spans="1:3">
      <c r="A110" s="2">
        <v>217</v>
      </c>
      <c r="B110" s="9" t="s">
        <v>13</v>
      </c>
      <c r="C110" s="34"/>
    </row>
    <row r="111" spans="1:3">
      <c r="A111" s="2">
        <v>218</v>
      </c>
      <c r="B111" s="9" t="s">
        <v>91</v>
      </c>
      <c r="C111" s="34"/>
    </row>
    <row r="112" spans="1:3">
      <c r="A112" s="2">
        <v>219</v>
      </c>
      <c r="B112" s="9" t="s">
        <v>91</v>
      </c>
      <c r="C112" s="34"/>
    </row>
    <row r="113" spans="1:5">
      <c r="A113" s="2">
        <v>220</v>
      </c>
      <c r="B113" s="9" t="s">
        <v>105</v>
      </c>
      <c r="C113" s="14" t="s">
        <v>11</v>
      </c>
    </row>
    <row r="114" spans="1:5">
      <c r="A114" s="2">
        <v>221</v>
      </c>
      <c r="B114" s="9" t="s">
        <v>105</v>
      </c>
      <c r="C114" s="14" t="s">
        <v>32</v>
      </c>
    </row>
    <row r="115" spans="1:5">
      <c r="A115" s="2">
        <v>222</v>
      </c>
      <c r="B115" s="9" t="s">
        <v>46</v>
      </c>
      <c r="C115" s="14" t="s">
        <v>12</v>
      </c>
      <c r="E115" s="17"/>
    </row>
    <row r="116" spans="1:5">
      <c r="A116" s="2">
        <v>223</v>
      </c>
      <c r="B116" s="9" t="s">
        <v>13</v>
      </c>
      <c r="C116" s="14" t="s">
        <v>21</v>
      </c>
    </row>
    <row r="117" spans="1:5">
      <c r="A117" s="2" t="s">
        <v>104</v>
      </c>
      <c r="B117" s="10" t="s">
        <v>106</v>
      </c>
      <c r="C117" s="5" t="s">
        <v>36</v>
      </c>
    </row>
    <row r="118" spans="1:5" ht="14.25" thickBot="1"/>
    <row r="119" spans="1:5">
      <c r="A119" s="22" t="s">
        <v>95</v>
      </c>
      <c r="B119" s="23" t="s">
        <v>96</v>
      </c>
      <c r="C119" s="21" t="s">
        <v>97</v>
      </c>
    </row>
    <row r="120" spans="1:5">
      <c r="A120" s="19" t="s">
        <v>98</v>
      </c>
      <c r="B120" s="18" t="s">
        <v>92</v>
      </c>
      <c r="C120" s="31" t="s">
        <v>105</v>
      </c>
      <c r="E120" s="24" t="s">
        <v>99</v>
      </c>
    </row>
    <row r="121" spans="1:5">
      <c r="A121" s="19" t="s">
        <v>93</v>
      </c>
      <c r="B121" s="18" t="s">
        <v>92</v>
      </c>
      <c r="C121" s="31" t="s">
        <v>105</v>
      </c>
      <c r="E121" s="24" t="s">
        <v>100</v>
      </c>
    </row>
    <row r="122" spans="1:5" ht="14.25" thickBot="1">
      <c r="A122" s="20" t="s">
        <v>94</v>
      </c>
      <c r="B122" s="18" t="s">
        <v>92</v>
      </c>
      <c r="C122" s="32" t="s">
        <v>105</v>
      </c>
      <c r="E122" s="24" t="s">
        <v>101</v>
      </c>
    </row>
  </sheetData>
  <mergeCells count="9">
    <mergeCell ref="J59:M59"/>
    <mergeCell ref="C85:C88"/>
    <mergeCell ref="C89:C104"/>
    <mergeCell ref="C105:C112"/>
    <mergeCell ref="C24:C31"/>
    <mergeCell ref="C41:C56"/>
    <mergeCell ref="C58:C60"/>
    <mergeCell ref="C61:C76"/>
    <mergeCell ref="C77:C78"/>
  </mergeCells>
  <phoneticPr fontId="1" type="noConversion"/>
  <pageMargins left="0.39370078740157483" right="0.39370078740157483" top="0.39370078740157483" bottom="0.39370078740157483" header="0.19685039370078741" footer="0.19685039370078741"/>
  <pageSetup paperSize="9" orientation="portrait" r:id="rId1"/>
  <headerFooter>
    <oddFooter>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Rev. info.</vt:lpstr>
      <vt:lpstr>EEPROM</vt:lpstr>
      <vt:lpstr>Notes</vt:lpstr>
      <vt:lpstr>EEPROM!Print_Area</vt:lpstr>
      <vt:lpstr>EEPROM!Print_Titles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Pan(LUXSHARE-ICT)</dc:creator>
  <cp:lastModifiedBy>Longjun Zhou(LUXSHARE-ICT)</cp:lastModifiedBy>
  <cp:lastPrinted>2015-04-24T01:04:38Z</cp:lastPrinted>
  <dcterms:created xsi:type="dcterms:W3CDTF">2014-09-06T03:08:41Z</dcterms:created>
  <dcterms:modified xsi:type="dcterms:W3CDTF">2015-08-26T00:08:54Z</dcterms:modified>
</cp:coreProperties>
</file>